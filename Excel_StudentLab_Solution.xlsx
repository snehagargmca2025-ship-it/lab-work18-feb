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Class</t>
        </is>
      </c>
      <c r="D1" t="inlineStr">
        <is>
          <t>Section</t>
        </is>
      </c>
      <c r="E1" t="inlineStr">
        <is>
          <t>City</t>
        </is>
      </c>
      <c r="F1" t="inlineStr">
        <is>
          <t>Gender</t>
        </is>
      </c>
      <c r="G1" t="inlineStr">
        <is>
          <t>Maths</t>
        </is>
      </c>
      <c r="H1" t="inlineStr">
        <is>
          <t>Science</t>
        </is>
      </c>
      <c r="I1" t="inlineStr">
        <is>
          <t>English</t>
        </is>
      </c>
      <c r="J1" t="inlineStr">
        <is>
          <t>Attendance</t>
        </is>
      </c>
      <c r="K1" t="inlineStr">
        <is>
          <t>Percentage</t>
        </is>
      </c>
      <c r="L1" t="inlineStr">
        <is>
          <t>Result</t>
        </is>
      </c>
    </row>
    <row r="2">
      <c r="A2" t="n">
        <v>1</v>
      </c>
      <c r="B2" t="inlineStr">
        <is>
          <t>Aman</t>
        </is>
      </c>
      <c r="C2" t="inlineStr">
        <is>
          <t>Class 9</t>
        </is>
      </c>
      <c r="D2" t="inlineStr">
        <is>
          <t>A</t>
        </is>
      </c>
      <c r="E2" t="inlineStr">
        <is>
          <t>Delhi</t>
        </is>
      </c>
      <c r="F2" t="inlineStr">
        <is>
          <t>Male</t>
        </is>
      </c>
      <c r="G2" t="n">
        <v>78</v>
      </c>
      <c r="H2" t="n">
        <v>82</v>
      </c>
      <c r="I2" t="n">
        <v>75</v>
      </c>
      <c r="J2" t="n">
        <v>92</v>
      </c>
      <c r="K2" t="n">
        <v>78</v>
      </c>
      <c r="L2" t="inlineStr">
        <is>
          <t>Pass</t>
        </is>
      </c>
    </row>
    <row r="3">
      <c r="A3" t="n">
        <v>2</v>
      </c>
      <c r="B3" t="inlineStr">
        <is>
          <t>Riya</t>
        </is>
      </c>
      <c r="C3" t="inlineStr">
        <is>
          <t>Class 10</t>
        </is>
      </c>
      <c r="D3" t="inlineStr">
        <is>
          <t>B</t>
        </is>
      </c>
      <c r="E3" t="inlineStr">
        <is>
          <t>Mumbai</t>
        </is>
      </c>
      <c r="F3" t="inlineStr">
        <is>
          <t>Female</t>
        </is>
      </c>
      <c r="G3" t="n">
        <v>88</v>
      </c>
      <c r="H3" t="n">
        <v>91</v>
      </c>
      <c r="I3" t="n">
        <v>85</v>
      </c>
      <c r="J3" t="n">
        <v>95</v>
      </c>
      <c r="K3" t="n">
        <v>88</v>
      </c>
      <c r="L3" t="inlineStr">
        <is>
          <t>Pass</t>
        </is>
      </c>
    </row>
    <row r="4">
      <c r="A4" t="n">
        <v>3</v>
      </c>
      <c r="B4" t="inlineStr">
        <is>
          <t>Karan</t>
        </is>
      </c>
      <c r="C4" t="inlineStr">
        <is>
          <t>Class 8</t>
        </is>
      </c>
      <c r="D4" t="inlineStr">
        <is>
          <t>A</t>
        </is>
      </c>
      <c r="E4" t="inlineStr">
        <is>
          <t>Jaipur</t>
        </is>
      </c>
      <c r="F4" t="inlineStr">
        <is>
          <t>Male</t>
        </is>
      </c>
      <c r="G4" t="n">
        <v>65</v>
      </c>
      <c r="H4" t="n">
        <v>70</v>
      </c>
      <c r="I4" t="n">
        <v>60</v>
      </c>
      <c r="J4" t="n">
        <v>85</v>
      </c>
      <c r="K4" t="n">
        <v>65</v>
      </c>
      <c r="L4" t="inlineStr">
        <is>
          <t>Pass</t>
        </is>
      </c>
    </row>
    <row r="5">
      <c r="A5" t="n">
        <v>4</v>
      </c>
      <c r="B5" t="inlineStr">
        <is>
          <t>Sneha</t>
        </is>
      </c>
      <c r="C5" t="inlineStr">
        <is>
          <t>Class 9</t>
        </is>
      </c>
      <c r="D5" t="inlineStr">
        <is>
          <t>B</t>
        </is>
      </c>
      <c r="E5" t="inlineStr">
        <is>
          <t>Delhi</t>
        </is>
      </c>
      <c r="F5" t="inlineStr">
        <is>
          <t>Female</t>
        </is>
      </c>
      <c r="G5" t="n">
        <v>35</v>
      </c>
      <c r="H5" t="n">
        <v>55</v>
      </c>
      <c r="I5" t="n">
        <v>45</v>
      </c>
      <c r="J5" t="n">
        <v>60</v>
      </c>
      <c r="K5" t="n">
        <v>45</v>
      </c>
      <c r="L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Total Students</t>
        </is>
      </c>
      <c r="B1">
        <f>COUNTA('Student Data'!A2:A100)</f>
        <v/>
      </c>
    </row>
    <row r="2">
      <c r="A2" t="inlineStr">
        <is>
          <t>2 Class 9 Count</t>
        </is>
      </c>
      <c r="B2">
        <f>COUNTIF('Student Data'!C2:C100,"Class 9")</f>
        <v/>
      </c>
    </row>
    <row r="3">
      <c r="A3" t="inlineStr">
        <is>
          <t>3 Delhi Students</t>
        </is>
      </c>
      <c r="B3">
        <f>COUNTIF('Student Data'!E2:E100,"Delhi")</f>
        <v/>
      </c>
    </row>
    <row r="4">
      <c r="A4" t="inlineStr">
        <is>
          <t>4 Maths &gt;75</t>
        </is>
      </c>
      <c r="B4">
        <f>COUNTIF('Student Data'!G2:G100,"&gt;75")</f>
        <v/>
      </c>
    </row>
    <row r="5">
      <c r="A5" t="inlineStr">
        <is>
          <t>5 Attendance &gt;90</t>
        </is>
      </c>
      <c r="B5">
        <f>COUNTIF('Student Data'!J2:J100,"&gt;90")</f>
        <v/>
      </c>
    </row>
    <row r="6">
      <c r="A6" t="inlineStr">
        <is>
          <t>6 Female Class 10</t>
        </is>
      </c>
      <c r="B6">
        <f>COUNTIFS('Student Data'!F2:F100,"Female",'Student Data'!C2:C100,"Class 10")</f>
        <v/>
      </c>
    </row>
    <row r="7">
      <c r="A7" t="inlineStr">
        <is>
          <t>7 Pass &amp; Attendance &lt;75</t>
        </is>
      </c>
      <c r="B7">
        <f>COUNTIFS('Student Data'!L2:L100,"Pass",'Student Data'!J2:J100,"&lt;75")</f>
        <v/>
      </c>
    </row>
    <row r="8">
      <c r="A8" t="inlineStr">
        <is>
          <t>8 Maths &amp; Science &gt;80</t>
        </is>
      </c>
      <c r="B8">
        <f>COUNTIFS('Student Data'!G2:G100,"&gt;80",'Student Data'!H2:H100,"&gt;80")</f>
        <v/>
      </c>
    </row>
    <row r="9">
      <c r="A9" t="inlineStr">
        <is>
          <t>9 Class 9 Section A</t>
        </is>
      </c>
      <c r="B9">
        <f>COUNTIFS('Student Data'!C2:C100,"Class 9",'Student Data'!D2:D100,"A")</f>
        <v/>
      </c>
    </row>
    <row r="10">
      <c r="A10" t="inlineStr">
        <is>
          <t>10 Total Marks Delhi</t>
        </is>
      </c>
      <c r="B10">
        <f>SUMIF('Student Data'!E2:E100,"Delhi",'Student Data'!K2:K100)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2026-03-31T15:58:56Z</dcterms:created>
  <dcterms:modified xmlns:dcterms="http://purl.org/dc/terms/" xmlns:xsi="http://www.w3.org/2001/XMLSchema-instance" xsi:type="dcterms:W3CDTF">2026-03-31T15:58:56Z</dcterms:modified>
</cp:coreProperties>
</file>